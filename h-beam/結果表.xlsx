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codeName="ThisWorkbook" defaultThemeVersion="124226"/>
  <bookViews>
    <workbookView xWindow="360" yWindow="120" windowWidth="28035" windowHeight="12345"/>
  </bookViews>
  <sheets>
    <sheet name="工作表1" sheetId="2" r:id="rId1"/>
  </sheets>
  <calcPr calcId="144525"/>
</workbook>
</file>

<file path=xl/calcChain.xml><?xml version="1.0" encoding="utf-8"?>
<calcChain xmlns="http://schemas.openxmlformats.org/spreadsheetml/2006/main">
  <c r="E32" i="2" l="1"/>
  <c r="E33" i="2"/>
  <c r="K12" i="2"/>
  <c r="K20" i="2"/>
  <c r="K19" i="2"/>
  <c r="K11" i="2"/>
  <c r="L18" i="2"/>
  <c r="K18" i="2"/>
  <c r="N18" i="2"/>
  <c r="N17" i="2"/>
  <c r="N16" i="2"/>
  <c r="N15" i="2"/>
  <c r="N9" i="2"/>
  <c r="N10" i="2"/>
  <c r="N8" i="2"/>
  <c r="L17" i="2"/>
  <c r="K17" i="2"/>
  <c r="L16" i="2"/>
  <c r="K16" i="2"/>
  <c r="L15" i="2"/>
  <c r="K15" i="2"/>
  <c r="L10" i="2"/>
  <c r="K10" i="2"/>
  <c r="L9" i="2"/>
  <c r="K9" i="2"/>
  <c r="L8" i="2"/>
  <c r="K8" i="2"/>
  <c r="M8" i="2" l="1"/>
  <c r="M18" i="2"/>
  <c r="M15" i="2"/>
  <c r="M16" i="2"/>
  <c r="M9" i="2"/>
  <c r="M17" i="2"/>
  <c r="M10" i="2"/>
</calcChain>
</file>

<file path=xl/sharedStrings.xml><?xml version="1.0" encoding="utf-8"?>
<sst xmlns="http://schemas.openxmlformats.org/spreadsheetml/2006/main" count="64" uniqueCount="39">
  <si>
    <t>案號:</t>
    <phoneticPr fontId="18" type="noConversion"/>
  </si>
  <si>
    <t>工程名稱:</t>
    <phoneticPr fontId="18" type="noConversion"/>
  </si>
  <si>
    <t>＊型鋼規格:</t>
    <phoneticPr fontId="18" type="noConversion"/>
  </si>
  <si>
    <t>H194*150*6*9</t>
    <phoneticPr fontId="18" type="noConversion"/>
  </si>
  <si>
    <t>數量</t>
    <phoneticPr fontId="18" type="noConversion"/>
  </si>
  <si>
    <t>切割長度組合(mm)</t>
    <phoneticPr fontId="18" type="noConversion"/>
  </si>
  <si>
    <t>定尺料規格(mm)</t>
    <phoneticPr fontId="18" type="noConversion"/>
  </si>
  <si>
    <t>材質</t>
    <phoneticPr fontId="18" type="noConversion"/>
  </si>
  <si>
    <t>型鋼採購建議單</t>
    <phoneticPr fontId="18" type="noConversion"/>
  </si>
  <si>
    <t>0321</t>
    <phoneticPr fontId="18" type="noConversion"/>
  </si>
  <si>
    <t>XX新建工程</t>
    <phoneticPr fontId="18" type="noConversion"/>
  </si>
  <si>
    <t>長度(mm)</t>
    <phoneticPr fontId="18" type="noConversion"/>
  </si>
  <si>
    <t>單位重:</t>
    <phoneticPr fontId="18" type="noConversion"/>
  </si>
  <si>
    <t>kg/m</t>
    <phoneticPr fontId="18" type="noConversion"/>
  </si>
  <si>
    <t>切割損耗:</t>
    <phoneticPr fontId="18" type="noConversion"/>
  </si>
  <si>
    <t>mm</t>
    <phoneticPr fontId="18" type="noConversion"/>
  </si>
  <si>
    <t>3815*3</t>
    <phoneticPr fontId="18" type="noConversion"/>
  </si>
  <si>
    <t>重量(kg)</t>
    <phoneticPr fontId="18" type="noConversion"/>
  </si>
  <si>
    <t>損耗(kg)</t>
    <phoneticPr fontId="18" type="noConversion"/>
  </si>
  <si>
    <t>%</t>
    <phoneticPr fontId="18" type="noConversion"/>
  </si>
  <si>
    <t>4850 + 1320 + 352*2</t>
    <phoneticPr fontId="18" type="noConversion"/>
  </si>
  <si>
    <t>切割總支數</t>
    <phoneticPr fontId="18" type="noConversion"/>
  </si>
  <si>
    <t>購買總數量</t>
    <phoneticPr fontId="18" type="noConversion"/>
  </si>
  <si>
    <t>剩餘長度(mm)</t>
    <phoneticPr fontId="18" type="noConversion"/>
  </si>
  <si>
    <t>H300*300*10*15</t>
    <phoneticPr fontId="18" type="noConversion"/>
  </si>
  <si>
    <t>4055*2 + 3870</t>
    <phoneticPr fontId="18" type="noConversion"/>
  </si>
  <si>
    <t>SN</t>
    <phoneticPr fontId="18" type="noConversion"/>
  </si>
  <si>
    <t>2809*4</t>
    <phoneticPr fontId="18" type="noConversion"/>
  </si>
  <si>
    <t>7883 + 1260 + 312</t>
    <phoneticPr fontId="18" type="noConversion"/>
  </si>
  <si>
    <t>H194*150*6*9</t>
    <phoneticPr fontId="18" type="noConversion"/>
  </si>
  <si>
    <t>12M</t>
    <phoneticPr fontId="18" type="noConversion"/>
  </si>
  <si>
    <t>支</t>
    <phoneticPr fontId="18" type="noConversion"/>
  </si>
  <si>
    <t>9M</t>
    <phoneticPr fontId="18" type="noConversion"/>
  </si>
  <si>
    <t>10M</t>
    <phoneticPr fontId="18" type="noConversion"/>
  </si>
  <si>
    <t>切割總重量:</t>
    <phoneticPr fontId="18" type="noConversion"/>
  </si>
  <si>
    <t>切割重量:</t>
    <phoneticPr fontId="18" type="noConversion"/>
  </si>
  <si>
    <t>購買重量</t>
    <phoneticPr fontId="18" type="noConversion"/>
  </si>
  <si>
    <t>購買總重量:</t>
    <phoneticPr fontId="18" type="noConversion"/>
  </si>
  <si>
    <t>kg</t>
    <phoneticPr fontId="18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</si>
</sst>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176" formatCode="&quot;$&quot;#,##0"/>
    <numFmt numFmtId="178" formatCode="[DBNum2][$-404]General"/>
    <numFmt numFmtId="180" formatCode="0.0_ "/>
    <numFmt numFmtId="181" formatCode="0.00_ "/>
  </numFmts>
  <fonts count="22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b/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65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  <font>
      <b/>
      <sz val="12"/>
      <color theme="1"/>
      <name val="新細明體"/>
      <family val="1"/>
      <charset val="136"/>
      <scheme val="minor"/>
    </font>
    <font>
      <sz val="24"/>
      <color theme="1"/>
      <name val="標楷體"/>
      <family val="4"/>
      <charset val="136"/>
    </font>
    <font>
      <b/>
      <sz val="12"/>
      <color theme="1"/>
      <name val="新細明體"/>
      <family val="1"/>
      <charset val="136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7" fillId="32" borderId="0" applyNumberFormat="0" applyBorder="0" applyAlignment="0" applyProtection="0">
      <alignment vertical="center"/>
    </xf>
  </cellStyleXfs>
  <cellXfs count="20">
    <xf numFmtId="0" fontId="0" fillId="0" borderId="0" xfId="0">
      <alignment vertical="center"/>
    </xf>
    <xf numFmtId="0" fontId="0" fillId="0" borderId="10" xfId="0" applyBorder="1">
      <alignment vertical="center"/>
    </xf>
    <xf numFmtId="176" fontId="0" fillId="0" borderId="0" xfId="0" applyNumberFormat="1">
      <alignment vertical="center"/>
    </xf>
    <xf numFmtId="178" fontId="0" fillId="0" borderId="0" xfId="0" applyNumberFormat="1">
      <alignment vertical="center"/>
    </xf>
    <xf numFmtId="0" fontId="0" fillId="0" borderId="0" xfId="0" applyAlignment="1">
      <alignment horizontal="center" vertical="center"/>
    </xf>
    <xf numFmtId="0" fontId="20" fillId="0" borderId="0" xfId="0" applyFont="1">
      <alignment vertical="center"/>
    </xf>
    <xf numFmtId="0" fontId="0" fillId="0" borderId="10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10" xfId="0" applyBorder="1" applyAlignment="1">
      <alignment horizontal="center" vertical="center"/>
    </xf>
    <xf numFmtId="49" fontId="0" fillId="0" borderId="0" xfId="0" applyNumberFormat="1" applyAlignment="1">
      <alignment horizontal="center" vertical="center"/>
    </xf>
    <xf numFmtId="180" fontId="0" fillId="0" borderId="10" xfId="0" applyNumberFormat="1" applyBorder="1" applyAlignment="1">
      <alignment horizontal="center" vertical="center"/>
    </xf>
    <xf numFmtId="181" fontId="0" fillId="0" borderId="10" xfId="0" applyNumberFormat="1" applyBorder="1" applyAlignment="1">
      <alignment horizontal="center" vertical="center"/>
    </xf>
    <xf numFmtId="0" fontId="21" fillId="0" borderId="0" xfId="0" applyFont="1" applyAlignment="1">
      <alignment horizontal="center" vertical="center"/>
    </xf>
    <xf numFmtId="0" fontId="19" fillId="0" borderId="0" xfId="0" applyFont="1" applyAlignment="1">
      <alignment horizontal="center" vertical="center"/>
    </xf>
    <xf numFmtId="0" fontId="0" fillId="0" borderId="0" xfId="0" applyBorder="1" applyAlignment="1">
      <alignment horizontal="center" vertical="center"/>
    </xf>
    <xf numFmtId="180" fontId="0" fillId="0" borderId="0" xfId="0" applyNumberFormat="1" applyBorder="1" applyAlignment="1">
      <alignment horizontal="center" vertical="center"/>
    </xf>
    <xf numFmtId="181" fontId="0" fillId="0" borderId="0" xfId="0" applyNumberFormat="1" applyBorder="1" applyAlignment="1">
      <alignment horizontal="center" vertical="center"/>
    </xf>
    <xf numFmtId="0" fontId="0" fillId="0" borderId="0" xfId="0" applyFill="1" applyBorder="1" applyAlignment="1">
      <alignment horizontal="center" vertical="center"/>
    </xf>
    <xf numFmtId="180" fontId="0" fillId="0" borderId="0" xfId="0" applyNumberFormat="1" applyBorder="1" applyAlignment="1">
      <alignment horizontal="left" vertical="center"/>
    </xf>
    <xf numFmtId="180" fontId="0" fillId="0" borderId="0" xfId="0" applyNumberFormat="1" applyAlignment="1">
      <alignment horizontal="center" vertical="center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66675</xdr:colOff>
      <xdr:row>5</xdr:row>
      <xdr:rowOff>76200</xdr:rowOff>
    </xdr:from>
    <xdr:to>
      <xdr:col>14</xdr:col>
      <xdr:colOff>28575</xdr:colOff>
      <xdr:row>5</xdr:row>
      <xdr:rowOff>123825</xdr:rowOff>
    </xdr:to>
    <xdr:sp macro="" textlink="">
      <xdr:nvSpPr>
        <xdr:cNvPr id="5" name="矩形 4"/>
        <xdr:cNvSpPr/>
      </xdr:nvSpPr>
      <xdr:spPr>
        <a:xfrm>
          <a:off x="66675" y="1323975"/>
          <a:ext cx="11915775" cy="47625"/>
        </a:xfrm>
        <a:prstGeom prst="rect">
          <a:avLst/>
        </a:prstGeom>
      </xdr:spPr>
      <xdr:style>
        <a:lnRef idx="2">
          <a:schemeClr val="dk1">
            <a:shade val="50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TW" alt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33"/>
  <sheetViews>
    <sheetView tabSelected="1" workbookViewId="0">
      <selection activeCell="Q18" sqref="Q18"/>
    </sheetView>
  </sheetViews>
  <sheetFormatPr defaultRowHeight="16.5" x14ac:dyDescent="0.25"/>
  <cols>
    <col min="1" max="1" width="16.375" bestFit="1" customWidth="1"/>
    <col min="2" max="2" width="15.75" customWidth="1"/>
    <col min="3" max="3" width="10.75" customWidth="1"/>
    <col min="4" max="4" width="11.875" customWidth="1"/>
    <col min="8" max="8" width="11.625" bestFit="1" customWidth="1"/>
    <col min="9" max="9" width="12.125" customWidth="1"/>
    <col min="10" max="10" width="9.625" customWidth="1"/>
    <col min="11" max="11" width="11.625" bestFit="1" customWidth="1"/>
    <col min="13" max="13" width="10.5" bestFit="1" customWidth="1"/>
    <col min="14" max="14" width="14.125" bestFit="1" customWidth="1"/>
  </cols>
  <sheetData>
    <row r="1" spans="1:14" ht="32.25" x14ac:dyDescent="0.25">
      <c r="D1" s="5" t="s">
        <v>8</v>
      </c>
    </row>
    <row r="3" spans="1:14" x14ac:dyDescent="0.25">
      <c r="A3" s="13" t="s">
        <v>0</v>
      </c>
      <c r="B3" s="9" t="s">
        <v>9</v>
      </c>
      <c r="C3" s="13" t="s">
        <v>1</v>
      </c>
      <c r="D3" t="s">
        <v>10</v>
      </c>
      <c r="I3" t="s">
        <v>14</v>
      </c>
      <c r="J3" s="4">
        <v>3</v>
      </c>
      <c r="K3" t="s">
        <v>15</v>
      </c>
    </row>
    <row r="5" spans="1:14" x14ac:dyDescent="0.25">
      <c r="A5" s="4" t="s">
        <v>6</v>
      </c>
      <c r="B5" s="4" t="s">
        <v>4</v>
      </c>
      <c r="C5" s="7" t="s">
        <v>5</v>
      </c>
      <c r="D5" s="7"/>
      <c r="E5" s="7"/>
      <c r="F5" s="7"/>
      <c r="G5" s="7"/>
      <c r="H5" s="4" t="s">
        <v>21</v>
      </c>
      <c r="I5" s="4" t="s">
        <v>7</v>
      </c>
      <c r="J5" s="4" t="s">
        <v>11</v>
      </c>
      <c r="K5" s="4" t="s">
        <v>17</v>
      </c>
      <c r="L5" s="4" t="s">
        <v>18</v>
      </c>
      <c r="M5" s="4" t="s">
        <v>19</v>
      </c>
      <c r="N5" s="4" t="s">
        <v>23</v>
      </c>
    </row>
    <row r="7" spans="1:14" x14ac:dyDescent="0.25">
      <c r="A7" s="12" t="s">
        <v>2</v>
      </c>
      <c r="B7" t="s">
        <v>3</v>
      </c>
      <c r="C7" s="13" t="s">
        <v>12</v>
      </c>
      <c r="D7" s="4">
        <v>29.9</v>
      </c>
      <c r="E7" t="s">
        <v>13</v>
      </c>
    </row>
    <row r="8" spans="1:14" x14ac:dyDescent="0.25">
      <c r="A8" s="6">
        <v>12000</v>
      </c>
      <c r="B8" s="6">
        <v>1</v>
      </c>
      <c r="C8" s="8" t="s">
        <v>16</v>
      </c>
      <c r="D8" s="8"/>
      <c r="E8" s="8"/>
      <c r="F8" s="8"/>
      <c r="G8" s="8"/>
      <c r="H8" s="6">
        <v>3</v>
      </c>
      <c r="I8" s="6" t="s">
        <v>26</v>
      </c>
      <c r="J8" s="6">
        <v>11454</v>
      </c>
      <c r="K8" s="10">
        <f>(A8*D7)/1000</f>
        <v>358.8</v>
      </c>
      <c r="L8" s="10">
        <f>((A8-J8)*D7)/1000</f>
        <v>16.325399999999998</v>
      </c>
      <c r="M8" s="11">
        <f>L8/K8*100</f>
        <v>4.5499999999999989</v>
      </c>
      <c r="N8" s="1">
        <f>A8-J8</f>
        <v>546</v>
      </c>
    </row>
    <row r="9" spans="1:14" x14ac:dyDescent="0.25">
      <c r="A9" s="6">
        <v>12000</v>
      </c>
      <c r="B9" s="6">
        <v>1</v>
      </c>
      <c r="C9" s="8" t="s">
        <v>16</v>
      </c>
      <c r="D9" s="8"/>
      <c r="E9" s="8"/>
      <c r="F9" s="8"/>
      <c r="G9" s="8"/>
      <c r="H9" s="6">
        <v>3</v>
      </c>
      <c r="I9" s="6" t="s">
        <v>26</v>
      </c>
      <c r="J9" s="6">
        <v>11454</v>
      </c>
      <c r="K9" s="10">
        <f>(A9*D7)/1000</f>
        <v>358.8</v>
      </c>
      <c r="L9" s="10">
        <f>((A9-J9)*D7)/1000</f>
        <v>16.325399999999998</v>
      </c>
      <c r="M9" s="11">
        <f>L9/K9*100</f>
        <v>4.5499999999999989</v>
      </c>
      <c r="N9" s="1">
        <f t="shared" ref="N9:N10" si="0">A9-J9</f>
        <v>546</v>
      </c>
    </row>
    <row r="10" spans="1:14" x14ac:dyDescent="0.25">
      <c r="A10" s="6">
        <v>9000</v>
      </c>
      <c r="B10" s="6">
        <v>1</v>
      </c>
      <c r="C10" s="8" t="s">
        <v>20</v>
      </c>
      <c r="D10" s="8"/>
      <c r="E10" s="8"/>
      <c r="F10" s="8"/>
      <c r="G10" s="8"/>
      <c r="H10" s="6">
        <v>4</v>
      </c>
      <c r="I10" s="6" t="s">
        <v>26</v>
      </c>
      <c r="J10" s="6">
        <v>6886</v>
      </c>
      <c r="K10" s="10">
        <f>(A10*D7)/1000</f>
        <v>269.10000000000002</v>
      </c>
      <c r="L10" s="10">
        <f>((A10-J10)*D7)/1000</f>
        <v>63.208599999999997</v>
      </c>
      <c r="M10" s="11">
        <f>L10/K10*100</f>
        <v>23.488888888888887</v>
      </c>
      <c r="N10" s="1">
        <f t="shared" si="0"/>
        <v>2114</v>
      </c>
    </row>
    <row r="11" spans="1:14" x14ac:dyDescent="0.25">
      <c r="A11" s="14"/>
      <c r="B11" s="14"/>
      <c r="C11" s="14"/>
      <c r="D11" s="14"/>
      <c r="E11" s="14"/>
      <c r="F11" s="14"/>
      <c r="G11" s="14"/>
      <c r="J11" s="14" t="s">
        <v>35</v>
      </c>
      <c r="K11" s="15">
        <f>SUM(J8:J10)*D7/1000</f>
        <v>890.84059999999999</v>
      </c>
      <c r="L11" s="18" t="s">
        <v>38</v>
      </c>
      <c r="M11" s="16"/>
    </row>
    <row r="12" spans="1:14" x14ac:dyDescent="0.25">
      <c r="A12" s="14"/>
      <c r="B12" s="14"/>
      <c r="C12" s="14"/>
      <c r="D12" s="14"/>
      <c r="E12" s="14"/>
      <c r="F12" s="14"/>
      <c r="G12" s="14"/>
      <c r="H12" s="14"/>
      <c r="I12" s="14"/>
      <c r="J12" s="14" t="s">
        <v>36</v>
      </c>
      <c r="K12" s="15">
        <f>SUM(A8:A10)*D7/1000</f>
        <v>986.7</v>
      </c>
      <c r="L12" s="18" t="s">
        <v>38</v>
      </c>
      <c r="M12" s="16"/>
    </row>
    <row r="13" spans="1:14" x14ac:dyDescent="0.25">
      <c r="H13" s="17"/>
      <c r="I13" s="17"/>
    </row>
    <row r="14" spans="1:14" x14ac:dyDescent="0.25">
      <c r="A14" s="12" t="s">
        <v>2</v>
      </c>
      <c r="B14" t="s">
        <v>24</v>
      </c>
      <c r="C14" s="13" t="s">
        <v>12</v>
      </c>
      <c r="D14" s="4">
        <v>93</v>
      </c>
      <c r="E14" t="s">
        <v>13</v>
      </c>
    </row>
    <row r="15" spans="1:14" x14ac:dyDescent="0.25">
      <c r="A15" s="6">
        <v>12000</v>
      </c>
      <c r="B15" s="6">
        <v>1</v>
      </c>
      <c r="C15" s="8" t="s">
        <v>25</v>
      </c>
      <c r="D15" s="8"/>
      <c r="E15" s="8"/>
      <c r="F15" s="8"/>
      <c r="G15" s="8"/>
      <c r="H15" s="6">
        <v>3</v>
      </c>
      <c r="I15" s="6" t="s">
        <v>26</v>
      </c>
      <c r="J15" s="6">
        <v>11989</v>
      </c>
      <c r="K15" s="10">
        <f>(A15*D14)/1000</f>
        <v>1116</v>
      </c>
      <c r="L15" s="10">
        <f>((A15-J15)*D14)/1000</f>
        <v>1.0229999999999999</v>
      </c>
      <c r="M15" s="11">
        <f>L15/K15*100</f>
        <v>9.166666666666666E-2</v>
      </c>
      <c r="N15" s="1">
        <f>A15-J15</f>
        <v>11</v>
      </c>
    </row>
    <row r="16" spans="1:14" x14ac:dyDescent="0.25">
      <c r="A16" s="6">
        <v>12000</v>
      </c>
      <c r="B16" s="6">
        <v>1</v>
      </c>
      <c r="C16" s="8" t="s">
        <v>27</v>
      </c>
      <c r="D16" s="8"/>
      <c r="E16" s="8"/>
      <c r="F16" s="8"/>
      <c r="G16" s="8"/>
      <c r="H16" s="6">
        <v>4</v>
      </c>
      <c r="I16" s="6" t="s">
        <v>26</v>
      </c>
      <c r="J16" s="6">
        <v>11248</v>
      </c>
      <c r="K16" s="10">
        <f>(A16*D14)/1000</f>
        <v>1116</v>
      </c>
      <c r="L16" s="10">
        <f>((A16-J16)*D14)/1000</f>
        <v>69.936000000000007</v>
      </c>
      <c r="M16" s="11">
        <f>L16/K16*100</f>
        <v>6.2666666666666675</v>
      </c>
      <c r="N16" s="1">
        <f t="shared" ref="N16:N17" si="1">A16-J16</f>
        <v>752</v>
      </c>
    </row>
    <row r="17" spans="1:14" x14ac:dyDescent="0.25">
      <c r="A17" s="6">
        <v>10000</v>
      </c>
      <c r="B17" s="6">
        <v>1</v>
      </c>
      <c r="C17" s="8" t="s">
        <v>28</v>
      </c>
      <c r="D17" s="8"/>
      <c r="E17" s="8"/>
      <c r="F17" s="8"/>
      <c r="G17" s="8"/>
      <c r="H17" s="6">
        <v>3</v>
      </c>
      <c r="I17" s="6" t="s">
        <v>26</v>
      </c>
      <c r="J17" s="6">
        <v>9464</v>
      </c>
      <c r="K17" s="10">
        <f>(A17*D14)/1000</f>
        <v>930</v>
      </c>
      <c r="L17" s="10">
        <f>((A17-J17)*D14)/1000</f>
        <v>49.847999999999999</v>
      </c>
      <c r="M17" s="11">
        <f>L17/K17*100</f>
        <v>5.36</v>
      </c>
      <c r="N17" s="1">
        <f t="shared" si="1"/>
        <v>536</v>
      </c>
    </row>
    <row r="18" spans="1:14" x14ac:dyDescent="0.25">
      <c r="A18" s="6">
        <v>9000</v>
      </c>
      <c r="B18" s="6">
        <v>1</v>
      </c>
      <c r="C18" s="8" t="s">
        <v>28</v>
      </c>
      <c r="D18" s="8"/>
      <c r="E18" s="8"/>
      <c r="F18" s="8"/>
      <c r="G18" s="8"/>
      <c r="H18" s="6">
        <v>3</v>
      </c>
      <c r="I18" s="6" t="s">
        <v>26</v>
      </c>
      <c r="J18" s="6">
        <v>8981</v>
      </c>
      <c r="K18" s="10">
        <f>(A18*D14)/1000</f>
        <v>837</v>
      </c>
      <c r="L18" s="10">
        <f>((A18-J18)*D14)/1000</f>
        <v>1.7669999999999999</v>
      </c>
      <c r="M18" s="11">
        <f>L18/K18*100</f>
        <v>0.21111111111111108</v>
      </c>
      <c r="N18" s="1">
        <f t="shared" ref="N18" si="2">A18-J18</f>
        <v>19</v>
      </c>
    </row>
    <row r="19" spans="1:14" x14ac:dyDescent="0.25">
      <c r="J19" s="14" t="s">
        <v>35</v>
      </c>
      <c r="K19" s="15">
        <f>SUM(J15:J18)*D14/1000</f>
        <v>3876.4259999999999</v>
      </c>
      <c r="L19" s="18" t="s">
        <v>38</v>
      </c>
    </row>
    <row r="20" spans="1:14" x14ac:dyDescent="0.25">
      <c r="H20" s="14"/>
      <c r="I20" s="14"/>
      <c r="J20" s="14" t="s">
        <v>36</v>
      </c>
      <c r="K20" s="15">
        <f>SUM(A15:A18)*D14/1000</f>
        <v>3999</v>
      </c>
      <c r="L20" s="18" t="s">
        <v>38</v>
      </c>
    </row>
    <row r="21" spans="1:14" x14ac:dyDescent="0.25">
      <c r="H21" s="17"/>
      <c r="I21" s="17"/>
      <c r="J21" s="17"/>
    </row>
    <row r="22" spans="1:14" x14ac:dyDescent="0.25">
      <c r="I22" s="2"/>
    </row>
    <row r="23" spans="1:14" x14ac:dyDescent="0.25">
      <c r="A23" t="s">
        <v>22</v>
      </c>
      <c r="I23" s="2"/>
    </row>
    <row r="24" spans="1:14" x14ac:dyDescent="0.25">
      <c r="A24" s="7" t="s">
        <v>29</v>
      </c>
      <c r="B24" s="7"/>
      <c r="C24" s="7"/>
    </row>
    <row r="25" spans="1:14" x14ac:dyDescent="0.25">
      <c r="A25" s="4" t="s">
        <v>30</v>
      </c>
      <c r="B25" s="4">
        <v>2</v>
      </c>
      <c r="C25" t="s">
        <v>31</v>
      </c>
    </row>
    <row r="26" spans="1:14" x14ac:dyDescent="0.25">
      <c r="A26" s="4" t="s">
        <v>32</v>
      </c>
      <c r="B26" s="4">
        <v>1</v>
      </c>
      <c r="C26" t="s">
        <v>31</v>
      </c>
    </row>
    <row r="28" spans="1:14" x14ac:dyDescent="0.25">
      <c r="A28" s="7" t="s">
        <v>29</v>
      </c>
      <c r="B28" s="7"/>
      <c r="C28" s="7"/>
      <c r="M28" s="3"/>
    </row>
    <row r="29" spans="1:14" x14ac:dyDescent="0.25">
      <c r="A29" s="4" t="s">
        <v>30</v>
      </c>
      <c r="B29" s="4">
        <v>2</v>
      </c>
      <c r="C29" t="s">
        <v>31</v>
      </c>
    </row>
    <row r="30" spans="1:14" x14ac:dyDescent="0.25">
      <c r="A30" s="4" t="s">
        <v>33</v>
      </c>
      <c r="B30" s="4">
        <v>1</v>
      </c>
      <c r="C30" t="s">
        <v>31</v>
      </c>
    </row>
    <row r="31" spans="1:14" x14ac:dyDescent="0.25">
      <c r="A31" s="4" t="s">
        <v>32</v>
      </c>
      <c r="B31" s="4">
        <v>1</v>
      </c>
      <c r="C31" t="s">
        <v>31</v>
      </c>
    </row>
    <row r="32" spans="1:14" x14ac:dyDescent="0.25">
      <c r="D32" t="s">
        <v>34</v>
      </c>
      <c r="E32" s="19">
        <f>K11+K19</f>
        <v>4767.2665999999999</v>
      </c>
      <c r="F32" s="18" t="s">
        <v>38</v>
      </c>
    </row>
    <row r="33" spans="4:6" x14ac:dyDescent="0.25">
      <c r="D33" t="s">
        <v>37</v>
      </c>
      <c r="E33" s="19">
        <f>K12+K20</f>
        <v>4985.7</v>
      </c>
      <c r="F33" s="18" t="s">
        <v>38</v>
      </c>
    </row>
  </sheetData>
  <mergeCells count="10">
    <mergeCell ref="A28:C28"/>
    <mergeCell ref="C15:G15"/>
    <mergeCell ref="C16:G16"/>
    <mergeCell ref="C17:G17"/>
    <mergeCell ref="C18:G18"/>
    <mergeCell ref="A24:C24"/>
    <mergeCell ref="C8:G8"/>
    <mergeCell ref="C9:G9"/>
    <mergeCell ref="C5:G5"/>
    <mergeCell ref="C10:G10"/>
  </mergeCells>
  <phoneticPr fontId="18" type="noConversion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工作表1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Windows 使用者</cp:lastModifiedBy>
  <dcterms:created xsi:type="dcterms:W3CDTF">2026-03-08T11:00:59Z</dcterms:created>
  <dcterms:modified xsi:type="dcterms:W3CDTF">2026-03-21T10:20:05Z</dcterms:modified>
</cp:coreProperties>
</file>